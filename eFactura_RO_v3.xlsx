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Accounting\If_EURO\eFactura\files(39)\"/>
    </mc:Choice>
  </mc:AlternateContent>
  <xr:revisionPtr revIDLastSave="0" documentId="13_ncr:1_{068BB23F-04E0-4869-9A6F-6A92C45EEF00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Citeste-ma" sheetId="1" r:id="rId1"/>
    <sheet name="Furnizori" sheetId="2" r:id="rId2"/>
    <sheet name="Clienti" sheetId="3" r:id="rId3"/>
    <sheet name="Facturi_Antet" sheetId="4" r:id="rId4"/>
    <sheet name="Linii_Facturi" sheetId="5" r:id="rId5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5" i="5" l="1"/>
  <c r="I4" i="5"/>
  <c r="M4" i="5" s="1"/>
  <c r="M3" i="5"/>
  <c r="N3" i="5" s="1"/>
  <c r="I3" i="5"/>
  <c r="I2" i="5"/>
  <c r="L2" i="4" s="1"/>
  <c r="M2" i="4" s="1"/>
  <c r="S4" i="4"/>
  <c r="S3" i="4"/>
  <c r="L3" i="4"/>
  <c r="M3" i="4" s="1"/>
  <c r="S2" i="4"/>
  <c r="N4" i="5" l="1"/>
  <c r="Q3" i="4"/>
  <c r="N3" i="4" s="1"/>
  <c r="K3" i="4" s="1"/>
  <c r="N2" i="4"/>
  <c r="K2" i="4" s="1"/>
  <c r="M2" i="5"/>
  <c r="Q2" i="4" s="1"/>
  <c r="N2" i="5"/>
  <c r="M5" i="5"/>
  <c r="Q4" i="4" s="1"/>
  <c r="L4" i="4"/>
  <c r="M4" i="4" s="1"/>
  <c r="N4" i="4" l="1"/>
  <c r="K4" i="4" s="1"/>
  <c r="N5" i="5"/>
</calcChain>
</file>

<file path=xl/sharedStrings.xml><?xml version="1.0" encoding="utf-8"?>
<sst xmlns="http://schemas.openxmlformats.org/spreadsheetml/2006/main" count="183" uniqueCount="129">
  <si>
    <t>eFactura RO — Generator XML pentru ANAF</t>
  </si>
  <si>
    <t>Versiune 3.0.0  •  Licență MIT  •  Conform CIUS-RO 1.0.1</t>
  </si>
  <si>
    <t>Pentru cine este?</t>
  </si>
  <si>
    <t>Persoane care intră obligatoriu în RO e-Factura din 1 iunie 2026: drepturi de autor, profesori cu meditații, agricultori, alte activități independente identificate prin CNP. Acoperă și PFA, microîntreprinderi mici, neplătitori sau plătitori de TVA. Un workbook poate deservi mai mulți furnizori.</t>
  </si>
  <si>
    <t>Cum se folosește (în 4 pași):</t>
  </si>
  <si>
    <t>Pasul 1</t>
  </si>
  <si>
    <t>Completează datele furnizorului în foaia 'Furnizori'. Bifează DA/NU la coloana PlatitorTVA.</t>
  </si>
  <si>
    <t>Pasul 2</t>
  </si>
  <si>
    <t>Adaugă clienții în foaia 'Clienti' (CNP pentru persoane fizice, CIF pentru firme — cu RO dacă sunt plătitori TVA).</t>
  </si>
  <si>
    <t>Pasul 3</t>
  </si>
  <si>
    <t>Pasul 4</t>
  </si>
  <si>
    <t>Apasă Alt+F8, alege 'Genereaza_eFactura_XML_Excel' și apasă 'Run'. Fișierele XML apar în subfolderul 'xml/'.</t>
  </si>
  <si>
    <t>Pentru factură de stornare:</t>
  </si>
  <si>
    <t>Tipul rămâne 380. Pe linie introduci CANTITATE NEGATIVĂ (ex: -10), prețul rămâne pozitiv. Sumele propagă semnul automat.</t>
  </si>
  <si>
    <t>După generare:</t>
  </si>
  <si>
    <t>Validează fiecare XML pe site-ul ANAF înainte de încărcare în SPV:</t>
  </si>
  <si>
    <t>https://www.anaf.ro/uploadxml/</t>
  </si>
  <si>
    <t>Important — limitări:</t>
  </si>
  <si>
    <t>• Aplicația generează doar fișierul XML. Trimiterea în SPV, semnătura electronică și obligația de înregistrare în Registrul RO e-Factura rămân în sarcina ta.</t>
  </si>
  <si>
    <t>• Pentru încărcarea în SPV este necesar certificat digital calificat — vezi documentația ANAF.</t>
  </si>
  <si>
    <t>• Aplicația suportă moneda RON, tip factură 380 (regulat și storno cu cantitate negativă) și cote TVA 0/5/11/21.</t>
  </si>
  <si>
    <t>Resurse:</t>
  </si>
  <si>
    <t>GitHub repository:</t>
  </si>
  <si>
    <t>&lt;completează URL după push&gt;</t>
  </si>
  <si>
    <t>Articol legislativ:</t>
  </si>
  <si>
    <t>&lt;completează URL articol&gt;</t>
  </si>
  <si>
    <t>RegistrationName</t>
  </si>
  <si>
    <t>CompanyID</t>
  </si>
  <si>
    <t>StreetName</t>
  </si>
  <si>
    <t>CityName</t>
  </si>
  <si>
    <t>PostalZone</t>
  </si>
  <si>
    <t>Country</t>
  </si>
  <si>
    <t>AdditionalStreetName</t>
  </si>
  <si>
    <t>CountrySubentity</t>
  </si>
  <si>
    <t>ContactPhone</t>
  </si>
  <si>
    <t>ContactEmail</t>
  </si>
  <si>
    <t>IBAN</t>
  </si>
  <si>
    <t>PaymentMeansCode</t>
  </si>
  <si>
    <t>RegistratioCompanyID</t>
  </si>
  <si>
    <t>CompanyLegalForm</t>
  </si>
  <si>
    <t>PlatitorTVA</t>
  </si>
  <si>
    <t>MotivScutire</t>
  </si>
  <si>
    <t>BankName</t>
  </si>
  <si>
    <t>ION POPESCU PFA</t>
  </si>
  <si>
    <t>12345678</t>
  </si>
  <si>
    <t>STR. LIVEZILOR NR. 5</t>
  </si>
  <si>
    <t>VALEA LUNGA</t>
  </si>
  <si>
    <t>107480</t>
  </si>
  <si>
    <t>RO</t>
  </si>
  <si>
    <t>RO-PH</t>
  </si>
  <si>
    <t>0721234567</t>
  </si>
  <si>
    <t>ion.popescu@example.com</t>
  </si>
  <si>
    <t>F29/123/2024</t>
  </si>
  <si>
    <t>NU</t>
  </si>
  <si>
    <t>Entitatea nu este inregistrata in scopuri de TVA</t>
  </si>
  <si>
    <t>POPA SI FIII SRL</t>
  </si>
  <si>
    <t>RO12345679</t>
  </si>
  <si>
    <t>STR. PRINCIPALA NR. 10</t>
  </si>
  <si>
    <t>BUCURESTI</t>
  </si>
  <si>
    <t>010101</t>
  </si>
  <si>
    <t>PARTER</t>
  </si>
  <si>
    <t>RO-B</t>
  </si>
  <si>
    <t>0731234567</t>
  </si>
  <si>
    <t>office@popasrl.ro</t>
  </si>
  <si>
    <t>RO12RNCB1234567890123456</t>
  </si>
  <si>
    <t>42</t>
  </si>
  <si>
    <t>J40/1234/2010</t>
  </si>
  <si>
    <t>Capital social: 200</t>
  </si>
  <si>
    <t>DA</t>
  </si>
  <si>
    <t>BANCA COMERCIALA ROMANA</t>
  </si>
  <si>
    <t>ID</t>
  </si>
  <si>
    <t>BRUTARIA SAT SRL</t>
  </si>
  <si>
    <t>RO87654321</t>
  </si>
  <si>
    <t>STR. MORII NR. 3</t>
  </si>
  <si>
    <t>TARGOVISTE</t>
  </si>
  <si>
    <t>130000</t>
  </si>
  <si>
    <t>RO-DB</t>
  </si>
  <si>
    <t>ANCA RADU</t>
  </si>
  <si>
    <t>2950101400123</t>
  </si>
  <si>
    <t>STR. NUC NR. 7</t>
  </si>
  <si>
    <t>PLOIESTI</t>
  </si>
  <si>
    <t>100100</t>
  </si>
  <si>
    <t>ASOCIATIA RURAL ART</t>
  </si>
  <si>
    <t>44556677</t>
  </si>
  <si>
    <t>STR. SCOLII NR. 1</t>
  </si>
  <si>
    <t>SupplierID</t>
  </si>
  <si>
    <t>CustomerID</t>
  </si>
  <si>
    <t>InvoiceID</t>
  </si>
  <si>
    <t>IssueDate</t>
  </si>
  <si>
    <t>DueDate</t>
  </si>
  <si>
    <t>TaxPointDate</t>
  </si>
  <si>
    <t>InvoiceTypeCode</t>
  </si>
  <si>
    <t>DocumentCurrencyCode</t>
  </si>
  <si>
    <t>TaxCurrencyCode</t>
  </si>
  <si>
    <t>Note</t>
  </si>
  <si>
    <t>PayableAmount</t>
  </si>
  <si>
    <t>LineExtensionAmount</t>
  </si>
  <si>
    <t>TaxExclusiveAmount</t>
  </si>
  <si>
    <t>TaxInclusiveAmount</t>
  </si>
  <si>
    <t>AllowanceTotalAmount</t>
  </si>
  <si>
    <t>ChargeTotalAmount</t>
  </si>
  <si>
    <t>VATAmount</t>
  </si>
  <si>
    <t>CountLine</t>
  </si>
  <si>
    <t>F2026-001</t>
  </si>
  <si>
    <t>380</t>
  </si>
  <si>
    <t>RON</t>
  </si>
  <si>
    <t>Vanzare produse agricole</t>
  </si>
  <si>
    <t>F2026-002</t>
  </si>
  <si>
    <t>F2026-001S</t>
  </si>
  <si>
    <t>Storno partial F2026-001 (returnare 10 kg)</t>
  </si>
  <si>
    <t>Invoice</t>
  </si>
  <si>
    <t>LineID</t>
  </si>
  <si>
    <t>InvoicedQuantity</t>
  </si>
  <si>
    <t>UnitCode</t>
  </si>
  <si>
    <t>Description</t>
  </si>
  <si>
    <t>PriceAmount</t>
  </si>
  <si>
    <t>Currency</t>
  </si>
  <si>
    <t>TaxPercent</t>
  </si>
  <si>
    <t>TaxCategoryID</t>
  </si>
  <si>
    <t>TaxSchemeID</t>
  </si>
  <si>
    <t>KGM</t>
  </si>
  <si>
    <t>O</t>
  </si>
  <si>
    <t>VAT</t>
  </si>
  <si>
    <t>Cartofi</t>
  </si>
  <si>
    <t>Morcovi</t>
  </si>
  <si>
    <t>Stornare partiala</t>
  </si>
  <si>
    <t>Baloti</t>
  </si>
  <si>
    <t>Baloti (returnare)</t>
  </si>
  <si>
    <t>Scrie facturile în 'Facturi_Antet' și liniile în 'Linii_Facturi'. Sumele se calculează automat. Te așezi pe factura pe care vrei să o listezi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</si>
</sst>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;\-#,##0.00"/>
    <numFmt numFmtId="166" formatCode="0.000"/>
    <numFmt numFmtId="167" formatCode="0.0000"/>
  </numFmts>
  <fonts count="8" x14ac:knownFonts="1">
    <font>
      <sz val="11"/>
      <color theme="1"/>
      <name val="Calibri"/>
      <family val="2"/>
      <charset val="1"/>
    </font>
    <font>
      <b/>
      <sz val="16"/>
      <color rgb="FF2F5496"/>
      <name val="Calibri"/>
      <family val="2"/>
    </font>
    <font>
      <i/>
      <sz val="10"/>
      <color rgb="FF595959"/>
      <name val="Calibri"/>
      <family val="2"/>
    </font>
    <font>
      <b/>
      <sz val="12"/>
      <color rgb="FF2F5496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u/>
      <sz val="11"/>
      <color rgb="FF0563C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0563C1"/>
      </patternFill>
    </fill>
    <fill>
      <patternFill patternType="solid">
        <fgColor rgb="FF9B7B2E"/>
        <bgColor rgb="FF80808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  <xf numFmtId="0" fontId="6" fillId="0" borderId="0" xfId="0" applyFont="1"/>
    <xf numFmtId="0" fontId="7" fillId="2" borderId="1" xfId="0" applyFont="1" applyFill="1" applyBorder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4" fillId="0" borderId="0" xfId="0" applyFont="1" applyAlignment="1">
      <alignment horizontal="center" vertical="top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49" fontId="7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B7B2E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naf.ro/uploadxm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8"/>
  <sheetViews>
    <sheetView showGridLines="0" tabSelected="1" topLeftCell="A7" zoomScaleNormal="100" workbookViewId="0">
      <selection activeCell="D10" sqref="D10"/>
    </sheetView>
  </sheetViews>
  <sheetFormatPr defaultColWidth="8.7109375" defaultRowHeight="15" x14ac:dyDescent="0.25"/>
  <cols>
    <col min="1" max="1" width="2" customWidth="1"/>
    <col min="2" max="2" width="18" customWidth="1"/>
    <col min="3" max="3" width="80" customWidth="1"/>
  </cols>
  <sheetData>
    <row r="2" spans="2:3" ht="21" x14ac:dyDescent="0.35">
      <c r="B2" s="1" t="s">
        <v>0</v>
      </c>
    </row>
    <row r="3" spans="2:3" x14ac:dyDescent="0.25">
      <c r="B3" s="2" t="s">
        <v>1</v>
      </c>
    </row>
    <row r="5" spans="2:3" ht="15.75" x14ac:dyDescent="0.25">
      <c r="B5" s="3" t="s">
        <v>2</v>
      </c>
    </row>
    <row r="6" spans="2:3" ht="60" customHeight="1" x14ac:dyDescent="0.25">
      <c r="B6" s="13" t="s">
        <v>3</v>
      </c>
      <c r="C6" s="13"/>
    </row>
    <row r="8" spans="2:3" ht="15.75" x14ac:dyDescent="0.25">
      <c r="B8" s="3" t="s">
        <v>4</v>
      </c>
    </row>
    <row r="9" spans="2:3" ht="31.5" customHeight="1" x14ac:dyDescent="0.25">
      <c r="B9" s="5" t="s">
        <v>5</v>
      </c>
      <c r="C9" s="4" t="s">
        <v>6</v>
      </c>
    </row>
    <row r="10" spans="2:3" ht="31.5" customHeight="1" x14ac:dyDescent="0.25">
      <c r="B10" s="5" t="s">
        <v>7</v>
      </c>
      <c r="C10" s="4" t="s">
        <v>8</v>
      </c>
    </row>
    <row r="11" spans="2:3" ht="31.5" customHeight="1" x14ac:dyDescent="0.25">
      <c r="B11" s="5" t="s">
        <v>9</v>
      </c>
      <c r="C11" s="4" t="s">
        <v>128</v>
      </c>
    </row>
    <row r="12" spans="2:3" ht="31.5" customHeight="1" x14ac:dyDescent="0.25">
      <c r="B12" s="5" t="s">
        <v>10</v>
      </c>
      <c r="C12" s="4" t="s">
        <v>11</v>
      </c>
    </row>
    <row r="14" spans="2:3" ht="15.75" x14ac:dyDescent="0.25">
      <c r="B14" s="3" t="s">
        <v>12</v>
      </c>
    </row>
    <row r="15" spans="2:3" ht="30" customHeight="1" x14ac:dyDescent="0.25">
      <c r="B15" s="4" t="s">
        <v>13</v>
      </c>
    </row>
    <row r="17" spans="2:3" ht="15.75" x14ac:dyDescent="0.25">
      <c r="B17" s="3" t="s">
        <v>14</v>
      </c>
    </row>
    <row r="18" spans="2:3" x14ac:dyDescent="0.25">
      <c r="B18" s="6" t="s">
        <v>15</v>
      </c>
    </row>
    <row r="19" spans="2:3" x14ac:dyDescent="0.25">
      <c r="B19" s="7" t="s">
        <v>16</v>
      </c>
    </row>
    <row r="21" spans="2:3" ht="15.75" x14ac:dyDescent="0.25">
      <c r="B21" s="3" t="s">
        <v>17</v>
      </c>
    </row>
    <row r="22" spans="2:3" ht="31.5" customHeight="1" x14ac:dyDescent="0.25">
      <c r="B22" s="4" t="s">
        <v>18</v>
      </c>
    </row>
    <row r="23" spans="2:3" ht="31.5" customHeight="1" x14ac:dyDescent="0.25">
      <c r="B23" s="4" t="s">
        <v>19</v>
      </c>
    </row>
    <row r="24" spans="2:3" ht="31.5" customHeight="1" x14ac:dyDescent="0.25">
      <c r="B24" s="4" t="s">
        <v>20</v>
      </c>
    </row>
    <row r="26" spans="2:3" ht="15.75" x14ac:dyDescent="0.25">
      <c r="B26" s="3" t="s">
        <v>21</v>
      </c>
    </row>
    <row r="27" spans="2:3" x14ac:dyDescent="0.25">
      <c r="B27" s="6" t="s">
        <v>22</v>
      </c>
      <c r="C27" s="6" t="s">
        <v>23</v>
      </c>
    </row>
    <row r="28" spans="2:3" x14ac:dyDescent="0.25">
      <c r="B28" s="6" t="s">
        <v>24</v>
      </c>
      <c r="C28" s="6" t="s">
        <v>25</v>
      </c>
    </row>
  </sheetData>
  <mergeCells count="1">
    <mergeCell ref="B6:C6"/>
  </mergeCells>
  <hyperlinks>
    <hyperlink ref="B19" r:id="rId1" xr:uid="{00000000-0004-0000-00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"/>
  <sheetViews>
    <sheetView topLeftCell="I1" zoomScaleNormal="100" workbookViewId="0">
      <pane ySplit="1" topLeftCell="A2" activePane="bottomLeft" state="frozen"/>
      <selection pane="bottomLeft" activeCell="J1" sqref="J1"/>
    </sheetView>
  </sheetViews>
  <sheetFormatPr defaultColWidth="8.7109375" defaultRowHeight="15" x14ac:dyDescent="0.25"/>
  <cols>
    <col min="1" max="1" width="22" style="15" customWidth="1"/>
    <col min="2" max="2" width="14" style="15" customWidth="1"/>
    <col min="3" max="3" width="28" style="15" customWidth="1"/>
    <col min="4" max="4" width="18" style="15" customWidth="1"/>
    <col min="5" max="5" width="10" style="15" customWidth="1"/>
    <col min="6" max="6" width="8" style="15" customWidth="1"/>
    <col min="7" max="7" width="16" style="15" customWidth="1"/>
    <col min="8" max="8" width="10" style="15" customWidth="1"/>
    <col min="9" max="9" width="14" style="15" customWidth="1"/>
    <col min="10" max="10" width="24" style="15" customWidth="1"/>
    <col min="11" max="11" width="26" style="15" customWidth="1"/>
    <col min="12" max="12" width="8" style="15" customWidth="1"/>
    <col min="13" max="14" width="18" style="15" customWidth="1"/>
    <col min="15" max="15" width="11" style="15" customWidth="1"/>
    <col min="16" max="16" width="42" style="15" customWidth="1"/>
    <col min="17" max="17" width="22" style="15" customWidth="1"/>
  </cols>
  <sheetData>
    <row r="1" spans="1:17" ht="45" x14ac:dyDescent="0.25">
      <c r="A1" s="14" t="s">
        <v>26</v>
      </c>
      <c r="B1" s="14" t="s">
        <v>27</v>
      </c>
      <c r="C1" s="14" t="s">
        <v>28</v>
      </c>
      <c r="D1" s="14" t="s">
        <v>29</v>
      </c>
      <c r="E1" s="14" t="s">
        <v>30</v>
      </c>
      <c r="F1" s="14" t="s">
        <v>31</v>
      </c>
      <c r="G1" s="14" t="s">
        <v>32</v>
      </c>
      <c r="H1" s="14" t="s">
        <v>33</v>
      </c>
      <c r="I1" s="14" t="s">
        <v>34</v>
      </c>
      <c r="J1" s="14" t="s">
        <v>35</v>
      </c>
      <c r="K1" s="14" t="s">
        <v>36</v>
      </c>
      <c r="L1" s="14" t="s">
        <v>37</v>
      </c>
      <c r="M1" s="14" t="s">
        <v>38</v>
      </c>
      <c r="N1" s="14" t="s">
        <v>39</v>
      </c>
      <c r="O1" s="16" t="s">
        <v>40</v>
      </c>
      <c r="P1" s="16" t="s">
        <v>41</v>
      </c>
      <c r="Q1" s="16" t="s">
        <v>42</v>
      </c>
    </row>
    <row r="2" spans="1:17" x14ac:dyDescent="0.25">
      <c r="A2" s="15" t="s">
        <v>43</v>
      </c>
      <c r="B2" s="15" t="s">
        <v>44</v>
      </c>
      <c r="C2" s="15" t="s">
        <v>45</v>
      </c>
      <c r="D2" s="15" t="s">
        <v>46</v>
      </c>
      <c r="E2" s="15" t="s">
        <v>47</v>
      </c>
      <c r="F2" s="15" t="s">
        <v>48</v>
      </c>
      <c r="H2" s="15" t="s">
        <v>49</v>
      </c>
      <c r="I2" s="15" t="s">
        <v>50</v>
      </c>
      <c r="J2" s="15" t="s">
        <v>51</v>
      </c>
      <c r="M2" s="15" t="s">
        <v>52</v>
      </c>
      <c r="O2" s="15" t="s">
        <v>53</v>
      </c>
      <c r="P2" s="15" t="s">
        <v>54</v>
      </c>
    </row>
    <row r="3" spans="1:17" x14ac:dyDescent="0.25">
      <c r="A3" s="15" t="s">
        <v>55</v>
      </c>
      <c r="B3" s="15" t="s">
        <v>56</v>
      </c>
      <c r="C3" s="15" t="s">
        <v>57</v>
      </c>
      <c r="D3" s="15" t="s">
        <v>58</v>
      </c>
      <c r="E3" s="15" t="s">
        <v>59</v>
      </c>
      <c r="F3" s="15" t="s">
        <v>48</v>
      </c>
      <c r="G3" s="15" t="s">
        <v>60</v>
      </c>
      <c r="H3" s="15" t="s">
        <v>61</v>
      </c>
      <c r="I3" s="15" t="s">
        <v>62</v>
      </c>
      <c r="J3" s="15" t="s">
        <v>63</v>
      </c>
      <c r="K3" s="15" t="s">
        <v>64</v>
      </c>
      <c r="L3" s="15" t="s">
        <v>65</v>
      </c>
      <c r="M3" s="15" t="s">
        <v>66</v>
      </c>
      <c r="N3" s="15" t="s">
        <v>67</v>
      </c>
      <c r="O3" s="15" t="s">
        <v>68</v>
      </c>
      <c r="Q3" s="15" t="s">
        <v>69</v>
      </c>
    </row>
  </sheetData>
  <dataValidations count="4">
    <dataValidation type="list" errorTitle="PlatitorTVA" error="Valoare invalidă. Folosește DA sau NU." sqref="O2:O1000" xr:uid="{00000000-0002-0000-0100-000000000000}">
      <formula1>"DA,NU"</formula1>
      <formula2>0</formula2>
    </dataValidation>
    <dataValidation type="list" allowBlank="1" prompt="42 = transfer bancar (cel mai comun)" sqref="L2:L1000" xr:uid="{00000000-0002-0000-0100-000001000000}">
      <formula1>"42,30,31,48,49"</formula1>
      <formula2>0</formula2>
    </dataValidation>
    <dataValidation type="list" error="Cod județ invalid." sqref="H2:H1000" xr:uid="{00000000-0002-0000-0100-000002000000}">
      <formula1>"RO-AB,RO-AR,RO-AG,RO-BC,RO-BH,RO-BN,RO-BT,RO-BV,RO-BR,RO-B,RO-BZ,RO-CS,RO-CL,RO-CJ,RO-CT,RO-CV,RO-DB,RO-DJ,RO-GL,RO-GR,RO-GJ,RO-HR,RO-HD,RO-IL,RO-IS,RO-IF,RO-MM,RO-MH,RO-MS,RO-NT,RO-OT,RO-PH,RO-SM,RO-SJ,RO-SB,RO-SV,RO-TR,RO-TM,RO-TL,RO-VS,RO-VL,RO-VN"</formula1>
      <formula2>0</formula2>
    </dataValidation>
    <dataValidation type="list" sqref="F2:F1000" xr:uid="{00000000-0002-0000-0100-000003000000}">
      <formula1>"RO"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"/>
  <sheetViews>
    <sheetView zoomScaleNormal="100" workbookViewId="0">
      <pane ySplit="1" topLeftCell="A2" activePane="bottomLeft" state="frozen"/>
      <selection pane="bottomLeft" activeCell="A3" sqref="A3"/>
    </sheetView>
  </sheetViews>
  <sheetFormatPr defaultColWidth="8.7109375" defaultRowHeight="15" x14ac:dyDescent="0.25"/>
  <cols>
    <col min="1" max="1" width="24" style="15" customWidth="1"/>
    <col min="2" max="2" width="16" style="15" customWidth="1"/>
    <col min="3" max="3" width="28" style="15" customWidth="1"/>
    <col min="4" max="4" width="18" style="15" customWidth="1"/>
    <col min="5" max="5" width="10" style="15" customWidth="1"/>
    <col min="6" max="6" width="8" style="15" customWidth="1"/>
    <col min="7" max="7" width="16" style="15" customWidth="1"/>
    <col min="8" max="8" width="10" style="15" customWidth="1"/>
    <col min="9" max="9" width="14" style="15" customWidth="1"/>
    <col min="10" max="10" width="22" style="15" customWidth="1"/>
    <col min="11" max="11" width="6" customWidth="1"/>
  </cols>
  <sheetData>
    <row r="1" spans="1:11" ht="30" x14ac:dyDescent="0.25">
      <c r="A1" s="14" t="s">
        <v>26</v>
      </c>
      <c r="B1" s="14" t="s">
        <v>27</v>
      </c>
      <c r="C1" s="14" t="s">
        <v>28</v>
      </c>
      <c r="D1" s="14" t="s">
        <v>29</v>
      </c>
      <c r="E1" s="14" t="s">
        <v>30</v>
      </c>
      <c r="F1" s="14" t="s">
        <v>31</v>
      </c>
      <c r="G1" s="14" t="s">
        <v>32</v>
      </c>
      <c r="H1" s="14" t="s">
        <v>33</v>
      </c>
      <c r="I1" s="14" t="s">
        <v>34</v>
      </c>
      <c r="J1" s="14" t="s">
        <v>35</v>
      </c>
      <c r="K1" s="8" t="s">
        <v>70</v>
      </c>
    </row>
    <row r="2" spans="1:11" x14ac:dyDescent="0.25">
      <c r="A2" s="15" t="s">
        <v>71</v>
      </c>
      <c r="B2" s="15" t="s">
        <v>72</v>
      </c>
      <c r="C2" s="15" t="s">
        <v>73</v>
      </c>
      <c r="D2" s="15" t="s">
        <v>74</v>
      </c>
      <c r="E2" s="15" t="s">
        <v>75</v>
      </c>
      <c r="F2" s="15" t="s">
        <v>48</v>
      </c>
      <c r="H2" s="15" t="s">
        <v>76</v>
      </c>
      <c r="K2">
        <v>1</v>
      </c>
    </row>
    <row r="3" spans="1:11" x14ac:dyDescent="0.25">
      <c r="A3" s="15" t="s">
        <v>77</v>
      </c>
      <c r="B3" s="15" t="s">
        <v>78</v>
      </c>
      <c r="C3" s="15" t="s">
        <v>79</v>
      </c>
      <c r="D3" s="15" t="s">
        <v>80</v>
      </c>
      <c r="E3" s="15" t="s">
        <v>81</v>
      </c>
      <c r="F3" s="15" t="s">
        <v>48</v>
      </c>
      <c r="H3" s="15" t="s">
        <v>49</v>
      </c>
      <c r="K3">
        <v>2</v>
      </c>
    </row>
    <row r="4" spans="1:11" x14ac:dyDescent="0.25">
      <c r="A4" s="15" t="s">
        <v>82</v>
      </c>
      <c r="B4" s="15" t="s">
        <v>83</v>
      </c>
      <c r="C4" s="15" t="s">
        <v>84</v>
      </c>
      <c r="D4" s="15" t="s">
        <v>46</v>
      </c>
      <c r="E4" s="15" t="s">
        <v>47</v>
      </c>
      <c r="F4" s="15" t="s">
        <v>48</v>
      </c>
      <c r="H4" s="15" t="s">
        <v>49</v>
      </c>
      <c r="K4">
        <v>3</v>
      </c>
    </row>
  </sheetData>
  <dataValidations count="2">
    <dataValidation type="list" sqref="F2:F1000" xr:uid="{00000000-0002-0000-0200-000000000000}">
      <formula1>"RO"</formula1>
      <formula2>0</formula2>
    </dataValidation>
    <dataValidation type="list" sqref="H2:H1000" xr:uid="{00000000-0002-0000-0200-000001000000}">
      <formula1>"RO-AB,RO-AR,RO-AG,RO-BC,RO-BH,RO-BN,RO-BT,RO-BV,RO-BR,RO-B,RO-BZ,RO-CS,RO-CL,RO-CJ,RO-CT,RO-CV,RO-DB,RO-DJ,RO-GL,RO-GR,RO-GJ,RO-HR,RO-HD,RO-IL,RO-IS,RO-IF,RO-MM,RO-MH,RO-MS,RO-NT,RO-OT,RO-PH,RO-SM,RO-SJ,RO-SB,RO-SV,RO-TR,RO-TM,RO-TL,RO-VS,RO-VL,RO-VN"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4"/>
  <sheetViews>
    <sheetView zoomScaleNormal="100" workbookViewId="0">
      <pane ySplit="1" topLeftCell="A2" activePane="bottomLeft" state="frozen"/>
      <selection pane="bottomLeft" activeCell="C1" sqref="C1"/>
    </sheetView>
  </sheetViews>
  <sheetFormatPr defaultColWidth="8.7109375" defaultRowHeight="15" x14ac:dyDescent="0.25"/>
  <cols>
    <col min="1" max="1" width="14" style="15" customWidth="1"/>
    <col min="2" max="3" width="16" style="15" customWidth="1"/>
    <col min="4" max="6" width="12" customWidth="1"/>
    <col min="7" max="7" width="8" style="15" customWidth="1"/>
    <col min="8" max="9" width="10" style="15" customWidth="1"/>
    <col min="10" max="10" width="30" style="15" customWidth="1"/>
    <col min="11" max="11" width="12" customWidth="1"/>
    <col min="12" max="14" width="14" customWidth="1"/>
    <col min="15" max="17" width="12" customWidth="1"/>
    <col min="18" max="19" width="8" customWidth="1"/>
    <col min="20" max="20" width="6" customWidth="1"/>
  </cols>
  <sheetData>
    <row r="1" spans="1:20" ht="45" x14ac:dyDescent="0.25">
      <c r="A1" s="14" t="s">
        <v>85</v>
      </c>
      <c r="B1" s="14" t="s">
        <v>86</v>
      </c>
      <c r="C1" s="14" t="s">
        <v>87</v>
      </c>
      <c r="D1" s="8" t="s">
        <v>88</v>
      </c>
      <c r="E1" s="8" t="s">
        <v>89</v>
      </c>
      <c r="F1" s="8" t="s">
        <v>90</v>
      </c>
      <c r="G1" s="14" t="s">
        <v>91</v>
      </c>
      <c r="H1" s="14" t="s">
        <v>92</v>
      </c>
      <c r="I1" s="14" t="s">
        <v>93</v>
      </c>
      <c r="J1" s="14" t="s">
        <v>94</v>
      </c>
      <c r="K1" s="8" t="s">
        <v>95</v>
      </c>
      <c r="L1" s="8" t="s">
        <v>96</v>
      </c>
      <c r="M1" s="8" t="s">
        <v>97</v>
      </c>
      <c r="N1" s="8" t="s">
        <v>98</v>
      </c>
      <c r="O1" s="8" t="s">
        <v>99</v>
      </c>
      <c r="P1" s="8" t="s">
        <v>100</v>
      </c>
      <c r="Q1" s="8" t="s">
        <v>101</v>
      </c>
      <c r="R1" s="8" t="s">
        <v>37</v>
      </c>
      <c r="S1" s="8" t="s">
        <v>102</v>
      </c>
      <c r="T1" s="8" t="s">
        <v>70</v>
      </c>
    </row>
    <row r="2" spans="1:20" x14ac:dyDescent="0.25">
      <c r="A2" s="15" t="s">
        <v>44</v>
      </c>
      <c r="B2" s="15" t="s">
        <v>78</v>
      </c>
      <c r="C2" s="15" t="s">
        <v>103</v>
      </c>
      <c r="D2" s="9">
        <v>46152</v>
      </c>
      <c r="E2" s="9">
        <v>46152</v>
      </c>
      <c r="F2" s="9">
        <v>46152</v>
      </c>
      <c r="G2" s="15" t="s">
        <v>104</v>
      </c>
      <c r="H2" s="15" t="s">
        <v>105</v>
      </c>
      <c r="I2" s="15" t="s">
        <v>105</v>
      </c>
      <c r="J2" s="15" t="s">
        <v>106</v>
      </c>
      <c r="K2" s="10">
        <f>N2</f>
        <v>250</v>
      </c>
      <c r="L2" s="10">
        <f>SUMIF(Linii_Facturi!A:A,C2,Linii_Facturi!I:I)</f>
        <v>250</v>
      </c>
      <c r="M2" s="10">
        <f>L2</f>
        <v>250</v>
      </c>
      <c r="N2" s="10">
        <f>M2+Q2</f>
        <v>250</v>
      </c>
      <c r="O2" s="10">
        <v>0</v>
      </c>
      <c r="P2" s="10">
        <v>0</v>
      </c>
      <c r="Q2" s="10">
        <f>SUMIF(Linii_Facturi!A:A,C2,Linii_Facturi!M:M)</f>
        <v>0</v>
      </c>
      <c r="S2">
        <f>COUNTIF(Linii_Facturi!A:A,C2)</f>
        <v>1</v>
      </c>
      <c r="T2">
        <v>1</v>
      </c>
    </row>
    <row r="3" spans="1:20" x14ac:dyDescent="0.25">
      <c r="A3" s="15" t="s">
        <v>44</v>
      </c>
      <c r="B3" s="15" t="s">
        <v>72</v>
      </c>
      <c r="C3" s="15" t="s">
        <v>107</v>
      </c>
      <c r="D3" s="9">
        <v>46154</v>
      </c>
      <c r="E3" s="9">
        <v>46161</v>
      </c>
      <c r="F3" s="9">
        <v>46154</v>
      </c>
      <c r="G3" s="15" t="s">
        <v>104</v>
      </c>
      <c r="H3" s="15" t="s">
        <v>105</v>
      </c>
      <c r="I3" s="15" t="s">
        <v>105</v>
      </c>
      <c r="K3" s="10">
        <f>N3</f>
        <v>380</v>
      </c>
      <c r="L3" s="10">
        <f>SUMIF(Linii_Facturi!A:A,C3,Linii_Facturi!I:I)</f>
        <v>380</v>
      </c>
      <c r="M3" s="10">
        <f>L3</f>
        <v>380</v>
      </c>
      <c r="N3" s="10">
        <f>M3+Q3</f>
        <v>380</v>
      </c>
      <c r="O3" s="10">
        <v>0</v>
      </c>
      <c r="P3" s="10">
        <v>0</v>
      </c>
      <c r="Q3" s="10">
        <f>SUMIF(Linii_Facturi!A:A,C3,Linii_Facturi!M:M)</f>
        <v>0</v>
      </c>
      <c r="S3">
        <f>COUNTIF(Linii_Facturi!A:A,C3)</f>
        <v>2</v>
      </c>
      <c r="T3">
        <v>2</v>
      </c>
    </row>
    <row r="4" spans="1:20" x14ac:dyDescent="0.25">
      <c r="A4" s="15" t="s">
        <v>44</v>
      </c>
      <c r="B4" s="15" t="s">
        <v>78</v>
      </c>
      <c r="C4" s="15" t="s">
        <v>108</v>
      </c>
      <c r="D4" s="9">
        <v>46156</v>
      </c>
      <c r="E4" s="9">
        <v>46156</v>
      </c>
      <c r="F4" s="9">
        <v>46156</v>
      </c>
      <c r="G4" s="15" t="s">
        <v>104</v>
      </c>
      <c r="H4" s="15" t="s">
        <v>105</v>
      </c>
      <c r="I4" s="15" t="s">
        <v>105</v>
      </c>
      <c r="J4" s="15" t="s">
        <v>109</v>
      </c>
      <c r="K4" s="10">
        <f>N4</f>
        <v>-50</v>
      </c>
      <c r="L4" s="10">
        <f>SUMIF(Linii_Facturi!A:A,C4,Linii_Facturi!I:I)</f>
        <v>-50</v>
      </c>
      <c r="M4" s="10">
        <f>L4</f>
        <v>-50</v>
      </c>
      <c r="N4" s="10">
        <f>M4+Q4</f>
        <v>-50</v>
      </c>
      <c r="O4" s="10">
        <v>0</v>
      </c>
      <c r="P4" s="10">
        <v>0</v>
      </c>
      <c r="Q4" s="10">
        <f>SUMIF(Linii_Facturi!A:A,C4,Linii_Facturi!M:M)</f>
        <v>0</v>
      </c>
      <c r="S4">
        <f>COUNTIF(Linii_Facturi!A:A,C4)</f>
        <v>1</v>
      </c>
      <c r="T4">
        <v>3</v>
      </c>
    </row>
  </sheetData>
  <dataValidations count="3">
    <dataValidation type="list" sqref="G2:G1000" xr:uid="{00000000-0002-0000-0300-000000000000}">
      <formula1>"380"</formula1>
      <formula2>0</formula2>
    </dataValidation>
    <dataValidation type="list" sqref="H2:I1000" xr:uid="{00000000-0002-0000-0300-000001000000}">
      <formula1>"RON"</formula1>
      <formula2>0</formula2>
    </dataValidation>
    <dataValidation type="list" allowBlank="1" sqref="R2:R1000" xr:uid="{00000000-0002-0000-0300-000002000000}">
      <formula1>"42,30,31,48,49"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"/>
  <sheetViews>
    <sheetView zoomScaleNormal="100" workbookViewId="0">
      <pane ySplit="1" topLeftCell="A2" activePane="bottomLeft" state="frozen"/>
      <selection pane="bottomLeft" activeCell="F5" sqref="F5"/>
    </sheetView>
  </sheetViews>
  <sheetFormatPr defaultColWidth="8.7109375" defaultRowHeight="15" x14ac:dyDescent="0.25"/>
  <cols>
    <col min="1" max="1" width="14" style="15" customWidth="1"/>
    <col min="2" max="2" width="6" customWidth="1"/>
    <col min="3" max="3" width="10" customWidth="1"/>
    <col min="4" max="4" width="8" style="15" customWidth="1"/>
    <col min="5" max="5" width="30" style="15" customWidth="1"/>
    <col min="6" max="6" width="22" style="15" customWidth="1"/>
    <col min="7" max="7" width="10" customWidth="1"/>
    <col min="8" max="8" width="8" customWidth="1"/>
    <col min="9" max="9" width="14" customWidth="1"/>
    <col min="10" max="10" width="8" customWidth="1"/>
    <col min="11" max="11" width="10" customWidth="1"/>
    <col min="12" max="12" width="10" style="15" customWidth="1"/>
    <col min="13" max="13" width="10" customWidth="1"/>
    <col min="14" max="14" width="14" customWidth="1"/>
  </cols>
  <sheetData>
    <row r="1" spans="1:14" ht="30" x14ac:dyDescent="0.25">
      <c r="A1" s="14" t="s">
        <v>110</v>
      </c>
      <c r="B1" s="8" t="s">
        <v>111</v>
      </c>
      <c r="C1" s="8" t="s">
        <v>112</v>
      </c>
      <c r="D1" s="14" t="s">
        <v>113</v>
      </c>
      <c r="E1" s="14" t="s">
        <v>114</v>
      </c>
      <c r="F1" s="14" t="s">
        <v>94</v>
      </c>
      <c r="G1" s="8" t="s">
        <v>115</v>
      </c>
      <c r="H1" s="8" t="s">
        <v>116</v>
      </c>
      <c r="I1" s="8" t="s">
        <v>96</v>
      </c>
      <c r="J1" s="8" t="s">
        <v>117</v>
      </c>
      <c r="K1" s="8" t="s">
        <v>118</v>
      </c>
      <c r="L1" s="14" t="s">
        <v>119</v>
      </c>
      <c r="M1" s="8" t="s">
        <v>101</v>
      </c>
      <c r="N1" s="8" t="s">
        <v>98</v>
      </c>
    </row>
    <row r="2" spans="1:14" x14ac:dyDescent="0.25">
      <c r="A2" s="15" t="s">
        <v>103</v>
      </c>
      <c r="B2">
        <v>1</v>
      </c>
      <c r="C2" s="11">
        <v>50</v>
      </c>
      <c r="D2" s="15" t="s">
        <v>120</v>
      </c>
      <c r="E2" s="15" t="s">
        <v>126</v>
      </c>
      <c r="G2" s="12">
        <v>5</v>
      </c>
      <c r="H2" t="s">
        <v>105</v>
      </c>
      <c r="I2" s="10">
        <f>ROUND(C2*G2,2)</f>
        <v>250</v>
      </c>
      <c r="J2">
        <v>0</v>
      </c>
      <c r="K2" t="s">
        <v>121</v>
      </c>
      <c r="L2" s="15" t="s">
        <v>122</v>
      </c>
      <c r="M2" s="10">
        <f>ROUND(I2*J2/100,2)</f>
        <v>0</v>
      </c>
      <c r="N2" s="10">
        <f>I2+M2</f>
        <v>250</v>
      </c>
    </row>
    <row r="3" spans="1:14" x14ac:dyDescent="0.25">
      <c r="A3" s="15" t="s">
        <v>107</v>
      </c>
      <c r="B3">
        <v>1</v>
      </c>
      <c r="C3" s="11">
        <v>100</v>
      </c>
      <c r="D3" s="15" t="s">
        <v>120</v>
      </c>
      <c r="E3" s="15" t="s">
        <v>123</v>
      </c>
      <c r="G3" s="12">
        <v>3</v>
      </c>
      <c r="H3" t="s">
        <v>105</v>
      </c>
      <c r="I3" s="10">
        <f>ROUND(C3*G3,2)</f>
        <v>300</v>
      </c>
      <c r="J3">
        <v>0</v>
      </c>
      <c r="K3" t="s">
        <v>121</v>
      </c>
      <c r="L3" s="15" t="s">
        <v>122</v>
      </c>
      <c r="M3" s="10">
        <f>ROUND(I3*J3/100,2)</f>
        <v>0</v>
      </c>
      <c r="N3" s="10">
        <f>I3+M3</f>
        <v>300</v>
      </c>
    </row>
    <row r="4" spans="1:14" x14ac:dyDescent="0.25">
      <c r="A4" s="15" t="s">
        <v>107</v>
      </c>
      <c r="B4">
        <v>2</v>
      </c>
      <c r="C4" s="11">
        <v>20</v>
      </c>
      <c r="D4" s="15" t="s">
        <v>120</v>
      </c>
      <c r="E4" s="15" t="s">
        <v>124</v>
      </c>
      <c r="G4" s="12">
        <v>4</v>
      </c>
      <c r="H4" t="s">
        <v>105</v>
      </c>
      <c r="I4" s="10">
        <f>ROUND(C4*G4,2)</f>
        <v>80</v>
      </c>
      <c r="J4">
        <v>0</v>
      </c>
      <c r="K4" t="s">
        <v>121</v>
      </c>
      <c r="L4" s="15" t="s">
        <v>122</v>
      </c>
      <c r="M4" s="10">
        <f>ROUND(I4*J4/100,2)</f>
        <v>0</v>
      </c>
      <c r="N4" s="10">
        <f>I4+M4</f>
        <v>80</v>
      </c>
    </row>
    <row r="5" spans="1:14" x14ac:dyDescent="0.25">
      <c r="A5" s="15" t="s">
        <v>108</v>
      </c>
      <c r="B5">
        <v>1</v>
      </c>
      <c r="C5" s="11">
        <v>-10</v>
      </c>
      <c r="D5" s="15" t="s">
        <v>120</v>
      </c>
      <c r="E5" s="15" t="s">
        <v>127</v>
      </c>
      <c r="F5" s="15" t="s">
        <v>125</v>
      </c>
      <c r="G5" s="12">
        <v>5</v>
      </c>
      <c r="H5" t="s">
        <v>105</v>
      </c>
      <c r="I5" s="10">
        <f>ROUND(C5*G5,2)</f>
        <v>-50</v>
      </c>
      <c r="J5">
        <v>0</v>
      </c>
      <c r="K5" t="s">
        <v>121</v>
      </c>
      <c r="L5" s="15" t="s">
        <v>122</v>
      </c>
      <c r="M5" s="10">
        <f>ROUND(I5*J5/100,2)</f>
        <v>0</v>
      </c>
      <c r="N5" s="10">
        <f>I5+M5</f>
        <v>-50</v>
      </c>
    </row>
  </sheetData>
  <dataValidations count="5">
    <dataValidation type="list" sqref="H2:H1000" xr:uid="{00000000-0002-0000-0400-000000000000}">
      <formula1>"RON"</formula1>
      <formula2>0</formula2>
    </dataValidation>
    <dataValidation type="list" sqref="D2:D1000" xr:uid="{00000000-0002-0000-0400-000001000000}">
      <formula1>"H87,KGM,LTR,MTR,MTQ,HUR,DAY,MON,ANN,KWH,SET,PR"</formula1>
      <formula2>0</formula2>
    </dataValidation>
    <dataValidation type="list" sqref="J2:J1000" xr:uid="{00000000-0002-0000-0400-000002000000}">
      <formula1>"0,5,11,21"</formula1>
      <formula2>0</formula2>
    </dataValidation>
    <dataValidation type="list" sqref="K2:K1000" xr:uid="{00000000-0002-0000-0400-000003000000}">
      <formula1>"O,S,Z,AE,E"</formula1>
      <formula2>0</formula2>
    </dataValidation>
    <dataValidation type="list" sqref="L2:L1000" xr:uid="{00000000-0002-0000-0400-000004000000}">
      <formula1>"VAT"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Citeste-ma</vt:lpstr>
      <vt:lpstr>Furnizori</vt:lpstr>
      <vt:lpstr>Clienti</vt:lpstr>
      <vt:lpstr>Facturi_Antet</vt:lpstr>
      <vt:lpstr>Linii_Facturi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Nelu Bădălan</cp:lastModifiedBy>
  <cp:revision>0</cp:revision>
  <dcterms:created xsi:type="dcterms:W3CDTF">2026-04-25T07:25:43Z</dcterms:created>
  <dcterms:modified xsi:type="dcterms:W3CDTF">2026-04-25T08:40:00Z</dcterms:modified>
  <dc:language>en-US</dc:language>
</cp:coreProperties>
</file>